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Sheet1!$A$2:$CP$5</definedName>
  </definedNames>
  <calcPr calcId="124519" fullCalcOnLoad="1"/>
</workbook>
</file>

<file path=xl/sharedStrings.xml><?xml version="1.0" encoding="utf-8"?>
<sst xmlns="http://schemas.openxmlformats.org/spreadsheetml/2006/main" count="283" uniqueCount="207">
  <si>
    <t>WGS_ID</t>
  </si>
  <si>
    <t>Parent_Folder</t>
  </si>
  <si>
    <t>Data_Location</t>
  </si>
  <si>
    <t>PHX_Version</t>
  </si>
  <si>
    <t>Minimum_QC_Check</t>
  </si>
  <si>
    <t>Minimum_QC_Issues</t>
  </si>
  <si>
    <t>Warnings</t>
  </si>
  <si>
    <t>Alerts</t>
  </si>
  <si>
    <t>Raw_Q30_R1_[%]</t>
  </si>
  <si>
    <t>Raw_Q30_R2_[%]</t>
  </si>
  <si>
    <t>Total_Raw_[reads]</t>
  </si>
  <si>
    <t>Paired_Trimmed_[reads]</t>
  </si>
  <si>
    <t>Total_Trimmed_[reads]</t>
  </si>
  <si>
    <t>Estimated_Trimmed_Coverage</t>
  </si>
  <si>
    <t>GC[%]</t>
  </si>
  <si>
    <t>Scaffolds</t>
  </si>
  <si>
    <t>Assembly_Length</t>
  </si>
  <si>
    <t>Assembly_Ratio</t>
  </si>
  <si>
    <t>Assembly_StDev</t>
  </si>
  <si>
    <t>Final_Taxa_ID</t>
  </si>
  <si>
    <t>Taxa_Source</t>
  </si>
  <si>
    <t>BUSCO_Lineage</t>
  </si>
  <si>
    <t>BUSCO_%Match</t>
  </si>
  <si>
    <t>Kraken_ID_Trimmed_Reads_%</t>
  </si>
  <si>
    <t>Kraken_ID_WtAssembly_%</t>
  </si>
  <si>
    <t>ShigaPass_Organism</t>
  </si>
  <si>
    <t>FastANI_Organism</t>
  </si>
  <si>
    <t>FastANI_%ID</t>
  </si>
  <si>
    <t>FastANI_%Coverage</t>
  </si>
  <si>
    <t>Species_Support_ANI</t>
  </si>
  <si>
    <t>Primary_MLST_Scheme</t>
  </si>
  <si>
    <t>Primary_MLST_Source</t>
  </si>
  <si>
    <t>Primary_MLST</t>
  </si>
  <si>
    <t>Primary_MLST_Alleles</t>
  </si>
  <si>
    <t>Secondary_MLST_Scheme</t>
  </si>
  <si>
    <t>Secondary_MLST_Source</t>
  </si>
  <si>
    <t>Secondary_MLST</t>
  </si>
  <si>
    <t>Secondary_MLST_Alleles</t>
  </si>
  <si>
    <t>AR_Database</t>
  </si>
  <si>
    <t>No_AR_Genes_Found</t>
  </si>
  <si>
    <t>aac(6')-Ib-cr_1_DQ303918_(aminoglycoside)</t>
  </si>
  <si>
    <t>aac(6')-Ie_NG_047055.1_(aminoglycoside)</t>
  </si>
  <si>
    <t>aadA1_NG_047327.1_(aminoglycoside)</t>
  </si>
  <si>
    <t>aadA2_NG_047343.1_(aminoglycoside)</t>
  </si>
  <si>
    <t>aph(3'')-Ib_5_AF321551_(aminoglycoside)</t>
  </si>
  <si>
    <t>aph(6)-Id_NG_047464.1_(aminoglycoside)</t>
  </si>
  <si>
    <t>rmtB1_NG_048058.1_(aminoglycoside)</t>
  </si>
  <si>
    <t>AmpC1_Ecoli_FN649414_(beta-lactam)</t>
  </si>
  <si>
    <t>Penicillin_Binding_Protein_Ecoli_CP002291_(beta-lactam)</t>
  </si>
  <si>
    <t>ampH_Ecoli_AP012030_(beta-lactam)</t>
  </si>
  <si>
    <t>blaAHM-1_NG_244472.1_(beta-lactam)</t>
  </si>
  <si>
    <t>blaCDD-2_NG_065861.1_(beta-lactam)</t>
  </si>
  <si>
    <t>blaCTX-M-15_NG_048935.1_(beta-lactam)</t>
  </si>
  <si>
    <t>blaEC-15_NG_049081.1_(beta-lactam)</t>
  </si>
  <si>
    <t>blaEC_U00096.3_(beta-lactam)</t>
  </si>
  <si>
    <t>blaNDM-5_NG_049337.1_(beta-lactam)</t>
  </si>
  <si>
    <t>blaOXA-1_NG_049392.1_blaOXA-1-like_(beta-lactam)</t>
  </si>
  <si>
    <t>blaTEM-1_NG_050145.1_(beta-lactam)</t>
  </si>
  <si>
    <t>ble-MBL_NG_047559.1_(bleomycin)</t>
  </si>
  <si>
    <t>SMR_efflux_emrE_Z11877.1_(efflux)</t>
  </si>
  <si>
    <t>acrF_U00096.3_(efflux)</t>
  </si>
  <si>
    <t>emrD_AP009048.1_(efflux)</t>
  </si>
  <si>
    <t>vanG-Cd_MOTD01000025.1_(glycopeptide)</t>
  </si>
  <si>
    <t>vanR-Cd_CP011847.1_(glycopeptide)</t>
  </si>
  <si>
    <t>vanS-Cd_CP011847.1_(glycopeptide)</t>
  </si>
  <si>
    <t>vanT-Cd_FJOJ01000013.1_(glycopeptide)</t>
  </si>
  <si>
    <t>vanZ1_AM180355.1_(glycopeptide)</t>
  </si>
  <si>
    <t>cplR_CP010905.2_(lincosamide-pleuromutilin-streptogramin)</t>
  </si>
  <si>
    <t>mph(A)_1_D16251_(macrolide)</t>
  </si>
  <si>
    <t>erm(B)_NG_047802.1_(macrolide_lincosamide_streptogramin)</t>
  </si>
  <si>
    <t>erm(B)_NG_047804.1_(macrolide_lincosamide_streptogramin)</t>
  </si>
  <si>
    <t>nimB-Cd_FN545816.1_(nitroimidazole)</t>
  </si>
  <si>
    <t>catA1_NG_047582.1_(phenicol)</t>
  </si>
  <si>
    <t>catB4_EU935739_(phenicol)</t>
  </si>
  <si>
    <t>qacEdelta1_NG_048042.1_(quaternary)</t>
  </si>
  <si>
    <t>sat2_fam_NG_048068.1_(streptothricin)</t>
  </si>
  <si>
    <t>sul1_NG_048082.1_(sulfonamide)</t>
  </si>
  <si>
    <t>sul2_NG_051852.1_(sulfonamide)</t>
  </si>
  <si>
    <t>tet(B)_NG_048163.1_(tetracycline)</t>
  </si>
  <si>
    <t>tetA_JX424423_(tetracycline)</t>
  </si>
  <si>
    <t>tetR_HF545434_(tetracycline)</t>
  </si>
  <si>
    <t>dfr1_rpt_NG_047675.1_(trimethoprim)</t>
  </si>
  <si>
    <t>dfrA12_NG_047689.1_(trimethoprim)</t>
  </si>
  <si>
    <t>dfrA1_NG_047676.1_(trimethoprim)</t>
  </si>
  <si>
    <t>HV_Database</t>
  </si>
  <si>
    <t>No_HVGs_Found</t>
  </si>
  <si>
    <t>iucA_45</t>
  </si>
  <si>
    <t>Plasmid_Replicon_Database</t>
  </si>
  <si>
    <t>No_Plasmid_Markers</t>
  </si>
  <si>
    <t>IncFIA_1</t>
  </si>
  <si>
    <t>IncFIB(AP001918)_1</t>
  </si>
  <si>
    <t>IncFII(pRSB107)_1</t>
  </si>
  <si>
    <t>IncI1-I(Alpha)_1</t>
  </si>
  <si>
    <t>IncX4_2</t>
  </si>
  <si>
    <t>1900825</t>
  </si>
  <si>
    <t>2021EL-00608</t>
  </si>
  <si>
    <t>WA0651166-WAPHL-M5130-211210</t>
  </si>
  <si>
    <t>2022GO-0043-MD-M00773-220509</t>
  </si>
  <si>
    <t>/scicomp/home-pure/sza8/outputs</t>
  </si>
  <si>
    <t>phoenix_220_040726</t>
  </si>
  <si>
    <t>2.2.0</t>
  </si>
  <si>
    <t>FAIL</t>
  </si>
  <si>
    <t>PASS</t>
  </si>
  <si>
    <t>Coverage &lt;30x (19.69x)</t>
  </si>
  <si>
    <t>No assembly due to:  2022GO-0043-MD-M00773-220509_R2 is corrupt and is unable to be unzipped.</t>
  </si>
  <si>
    <t>&lt;1,000,000 trimmed reads, &lt;1,000,000 raw reads, &lt;70% of reads assigned to top genera hit (4.18%)</t>
  </si>
  <si>
    <t>High scaffold count 200-500 (222)</t>
  </si>
  <si>
    <t>&lt;70% of reads assigned to top genera hit (22.60%), High scaffold count 200-500 (346)</t>
  </si>
  <si>
    <t>Corrupted input FASTQ file(s): downstream steps skipped.</t>
  </si>
  <si>
    <t>Unknown</t>
  </si>
  <si>
    <t>Escherichia coli</t>
  </si>
  <si>
    <t>Clostridioides difficile</t>
  </si>
  <si>
    <t>Shigella flexneri</t>
  </si>
  <si>
    <t>ANI_REFSEQ</t>
  </si>
  <si>
    <t>ShigaPass</t>
  </si>
  <si>
    <t>enterobacteriaceae_odb12</t>
  </si>
  <si>
    <t>peptostreptococcaceae_odb12</t>
  </si>
  <si>
    <t>BUSCO summary file not found</t>
  </si>
  <si>
    <t>Escherichia (4.18) coli (3.79).</t>
  </si>
  <si>
    <t>Clostridioides (90.25) difficile (84.74).</t>
  </si>
  <si>
    <t>Shigella (22.60) flexneri (8.09).</t>
  </si>
  <si>
    <t>Escherichia (88.64) coli (87.93).</t>
  </si>
  <si>
    <t>Clostridioides (100.00) difficile (99.96).</t>
  </si>
  <si>
    <t>Shigella (97.64) flexneri (93.39).</t>
  </si>
  <si>
    <t>Not Shigella/EIEC</t>
  </si>
  <si>
    <t>Escherichia_coli_GCF_017352055.1_ASM1735205v1.fna.gz</t>
  </si>
  <si>
    <t>Clostridioides_difficile_GCF_022695655.1_ASM2269565v1.fna.gz</t>
  </si>
  <si>
    <t>Shigella_flexneri_GCF_030506075.1_ASM3050607v1.fna.gz</t>
  </si>
  <si>
    <t>ecoli(Achtman)</t>
  </si>
  <si>
    <t>cdifficile</t>
  </si>
  <si>
    <t>assembly/reads</t>
  </si>
  <si>
    <t>assembly</t>
  </si>
  <si>
    <t>ST46</t>
  </si>
  <si>
    <t>ST54</t>
  </si>
  <si>
    <t>ST245</t>
  </si>
  <si>
    <t>adk(8).fumC(7).gyrB(1).icd(8).mdh(8).purA(8).recA(6)</t>
  </si>
  <si>
    <t>adk(1).atpA(4).dxr(7).glyA(1).recA(1).sodA(3).tpi(3)</t>
  </si>
  <si>
    <t>adk(6).fumC(61).gyrB(6).icd(11).mdh(13).purA(3).recA(50)</t>
  </si>
  <si>
    <t>ecoli_2(Pasteur)</t>
  </si>
  <si>
    <t>Novel_allele</t>
  </si>
  <si>
    <t>Missing_allele</t>
  </si>
  <si>
    <t>dinB(10).icdA(2).pabB(3).polB(10).putP(18).trpA(~1).trpB(4).uidA(67)</t>
  </si>
  <si>
    <t>dinB(113).icdA(220).pabB(4).polB(~139).putP(-).trpA(146).trpB(141).uidA(131)</t>
  </si>
  <si>
    <t>ResGANNCBI_20251208([XNT/98AA/90]G:[98NT/90]S)</t>
  </si>
  <si>
    <t>AR GAMMA file not found</t>
  </si>
  <si>
    <t>File not found</t>
  </si>
  <si>
    <t>[100NT/100]S:[100NT/100AA/100:#105]G</t>
  </si>
  <si>
    <t>[100NT/100]S:[100NT/100AA/100:#91]G</t>
  </si>
  <si>
    <t>[99NT/100]S</t>
  </si>
  <si>
    <t>[100NT/100]S:[100NT/100AA/100:#76]G</t>
  </si>
  <si>
    <t>[100NT/100]S:[100NT/100AA/100:#161]G</t>
  </si>
  <si>
    <t>[100NT/100]S:[100NT/100AA/100:#109]G</t>
  </si>
  <si>
    <t>[99NT/100]S:[99NT/99AA/100:#1]G</t>
  </si>
  <si>
    <t>[99NT/100]S:[99NT/99AA/100:#13]G</t>
  </si>
  <si>
    <t>[98NT/100]S:[98NT/99AA/100:#4]G</t>
  </si>
  <si>
    <t>[98NT/100]S:[98NT/99AA/100:#74]G</t>
  </si>
  <si>
    <t>[98NT/100]S:[98NT/99AA/100:#121]G</t>
  </si>
  <si>
    <t>[100NT/100]S:[100NT/100AA/100:#10]G</t>
  </si>
  <si>
    <t>[100NT/100]S:[100NT/100AA/100:#13]G</t>
  </si>
  <si>
    <t>[100NT/100]S:[100NT/100AA/100:#113]G</t>
  </si>
  <si>
    <t>[98NT/98AA/100:#20]G</t>
  </si>
  <si>
    <t>[98NT/98AA/100:#122]G</t>
  </si>
  <si>
    <t>[100NT/100]S:[100NT/100AA/100:#141]G</t>
  </si>
  <si>
    <t>[100NT/100]S:[100NT/100AA/100:#66]G</t>
  </si>
  <si>
    <t>[92NT/98AA/100:#15]G</t>
  </si>
  <si>
    <t>[99NT/100]S:[99NT/99AA/100:#2]G</t>
  </si>
  <si>
    <t>[99NT/100]S:[99NT/99AA/100:#45]G</t>
  </si>
  <si>
    <t>[98NT/100AA/100:#25]G</t>
  </si>
  <si>
    <t>[100NT/100]S:[100NT/100AA/100:#90]G</t>
  </si>
  <si>
    <t>[99NT/100]S:[99NT/99AA/100:#90]G</t>
  </si>
  <si>
    <t>[100NT/100]S:[100NT/100AA/100:#77]G</t>
  </si>
  <si>
    <t>[99NT/100]S:[99NT/99AA/100:#25]G</t>
  </si>
  <si>
    <t>[100NT/99]S:[99NT/99AA/100:#66]G</t>
  </si>
  <si>
    <t>[100NT/100]S:[100NT/100AA/100:#63]G</t>
  </si>
  <si>
    <t>[99NT/100]S:[99NT/99AA/100:#21]G</t>
  </si>
  <si>
    <t>[99NT/100]S:[99NT/100AA/100:#141]G</t>
  </si>
  <si>
    <t>[100NT/100]S:[100NT/100AA/100:#208]G</t>
  </si>
  <si>
    <t>[99NT/100]S:[99NT/99AA/100:#174]G</t>
  </si>
  <si>
    <t>[100NT/100]S:[100NT/100AA/100:#61]G</t>
  </si>
  <si>
    <t>HyperVirulence_20220414</t>
  </si>
  <si>
    <t>HV GAMMA file not found</t>
  </si>
  <si>
    <t>[-/-]</t>
  </si>
  <si>
    <t>[93NT/94AA/100:#109]G</t>
  </si>
  <si>
    <t xml:space="preserve">PF-Replicons_20251205([95NT/60]) </t>
  </si>
  <si>
    <t>PF GAMMA file not found</t>
  </si>
  <si>
    <t>[99NT/100:#57]G</t>
  </si>
  <si>
    <t>[97NT/100:#88]G</t>
  </si>
  <si>
    <t>[100NT/100:#61]G</t>
  </si>
  <si>
    <t>[97NT/100:#52]G</t>
  </si>
  <si>
    <t>[98NT/100:#42]G</t>
  </si>
  <si>
    <t>PHoeNIx Summary</t>
  </si>
  <si>
    <t>QC Metrics</t>
  </si>
  <si>
    <t>Taxonomic Information</t>
  </si>
  <si>
    <t>MLST Information</t>
  </si>
  <si>
    <t>Antibiotic Resistance Genes</t>
  </si>
  <si>
    <t>Hypervirulence Genes^^</t>
  </si>
  <si>
    <t>Plasmid Incompatibility Replicons^^^</t>
  </si>
  <si>
    <t>Cells in YELLOW denote isolates outside of 30-100X coverage</t>
  </si>
  <si>
    <t>Cells in ORANGE denote “Big 5” carbapenemase gene (i.e., blaKPC, blaNDM, blaOXA48-like, blaVIM, and blaIMP) or an acquired blaOXA gene, please confirm what AR Lab Network HAI/AR WGS priority these meet.</t>
  </si>
  <si>
    <t>Cells in RED denote isolates that failed one or more auto failure triggers (cov &lt; 30, assembly ratio stdev &gt; 2.58, assembly length &lt; 1Mbps, &gt;500 scaffolds)</t>
  </si>
  <si>
    <t>Click for a full explaination of symbols used in MLST allele markers. The source of the MLST determination can be 'assembly' (MLST), 'reads' (SRST2) or both 'assembly/reads'.</t>
  </si>
  <si>
    <t>^Using Antibiotic Resistance Gene database ResGANNCBI_20251208([XNT/98AA/90]G:[98NT/90]S),AR GAMMA file not found (ResFinder, ARG-ANNOT, NCBI Bacterial Antimicrobial Resistance Reference Gene Database); gene matches from S:(SRST2) with [%Nuc_Identity, %Coverage], or from G:(GAMMA) with [%Nuc_Identity, %AA_Identity,  %Coverage]; GAMMA gene matches indicate associated contig.</t>
  </si>
  <si>
    <t>^^Using CDC-compiled iroB, iucA, peg-344, rmpA, and rmpA2 hypervirulence gene database ( HyperVirulence_20220414,HV GAMMA file not found ); gene matches noted with [%Nuc_Identity, %AA_Identity,  %Coverage].</t>
  </si>
  <si>
    <t>^^^Using the plasmid incompatibility replicons plasmidFinder database ( PF-Replicons_20251205([95NT/60]) ,PF GAMMA file not found ); replicon matches noted with [%Nuc_Identity, %Coverage].</t>
  </si>
  <si>
    <t>DISCLAIMER: These data are preliminary and subject to change. The identification methods used and the data summarized are for public health surveillance or investigational purposes only and must NOT be communicated to the patient, their care provider, or placed in the patient’s medical record. These results should NOT be used for diagnosis, treatment, or assessment of individual patient health or management.</t>
  </si>
  <si>
    <t>Reviewed by:</t>
  </si>
  <si>
    <t>Date:</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</si>
</sst>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scheme val="minor"/>
    </font>
    <font>
      <u/>
      <sz val="11"/>
      <color theme="10"/>
      <name val="Calibri"/>
      <family val="2"/>
    </font>
    <font>
      <sz val="11"/>
      <color theme="1"/>
      <name val="Calibri"/>
      <family val="2"/>
      <scheme val="minor"/>
    </font>
  </fonts>
  <fills count="12">
    <fill>
      <patternFill patternType="none"/>
    </fill>
    <fill>
      <patternFill patternType="gray125"/>
    </fill>
    <fill>
      <patternFill patternType="solid">
        <fgColor rgb="FFADD8E6"/>
        <bgColor indexed="64"/>
      </patternFill>
    </fill>
    <fill>
      <patternFill patternType="solid">
        <fgColor rgb="FF72A0C1"/>
        <bgColor indexed="64"/>
      </patternFill>
    </fill>
    <fill>
      <patternFill patternType="solid">
        <fgColor rgb="FFACE1AF"/>
        <bgColor indexed="64"/>
      </patternFill>
    </fill>
    <fill>
      <patternFill patternType="solid">
        <fgColor rgb="FFA3C1AD"/>
        <bgColor indexed="64"/>
      </patternFill>
    </fill>
    <fill>
      <patternFill patternType="solid">
        <fgColor rgb="FFD5D8DC"/>
        <bgColor indexed="64"/>
      </patternFill>
    </fill>
    <fill>
      <patternFill patternType="solid">
        <fgColor rgb="FFAEB6BF"/>
        <bgColor indexed="64"/>
      </patternFill>
    </fill>
    <fill>
      <patternFill patternType="solid">
        <fgColor rgb="FF808B96"/>
        <bgColor indexed="64"/>
      </patternFill>
    </fill>
    <fill>
      <patternFill patternType="solid">
        <fgColor rgb="FFF5CBA7"/>
        <bgColor indexed="64"/>
      </patternFill>
    </fill>
    <fill>
      <patternFill patternType="solid">
        <fgColor rgb="FFFFEB9C"/>
        <bgColor indexed="64"/>
      </patternFill>
    </fill>
    <fill>
      <patternFill patternType="solid">
        <fgColor rgb="FFF5B7B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6">
    <xf numFmtId="0" fontId="0" fillId="0" borderId="0" xfId="0"/>
    <xf numFmtId="0" fontId="1"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1" fillId="0" borderId="1" xfId="0" applyFont="1" applyBorder="1" applyAlignment="1">
      <alignment horizontal="center" vertical="top"/>
    </xf>
    <xf numFmtId="0" fontId="2" fillId="9" borderId="1" xfId="0" applyFont="1" applyFill="1" applyBorder="1"/>
    <xf numFmtId="0" fontId="3" fillId="10" borderId="0" xfId="0" applyFont="1" applyFill="1"/>
    <xf numFmtId="0" fontId="4" fillId="9" borderId="0" xfId="0" applyFont="1" applyFill="1"/>
    <xf numFmtId="0" fontId="3" fillId="11" borderId="0" xfId="0" applyFont="1" applyFill="1"/>
    <xf numFmtId="0" fontId="5" fillId="0" borderId="0" xfId="1" applyAlignment="1" applyProtection="1"/>
    <xf numFmtId="0" fontId="6" fillId="0" borderId="0" xfId="0" applyFont="1"/>
  </cellXfs>
  <cellStyles count="2">
    <cellStyle name="Hyperlink" xfId="1" builtinId="8"/>
    <cellStyle name="Normal" xfId="0" builtinId="0"/>
  </cellStyles>
  <dxfs count="4">
    <dxf>
      <numFmt numFmtId="164" formatCode="#,##0"/>
    </dxf>
    <dxf>
      <numFmt numFmtId="165" formatCode="0.00"/>
    </dxf>
    <dxf>
      <font>
        <color rgb="FF000000"/>
      </font>
      <fill>
        <patternFill>
          <bgColor rgb="FFFFEB9C"/>
        </patternFill>
      </fill>
    </dxf>
    <dxf>
      <font>
        <color rgb="FF000000"/>
      </font>
      <fill>
        <patternFill>
          <bgColor rgb="FFF5B7B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CDCgov/phoenix/wiki/Pipeline-Overview" TargetMode="External"/></Relationships>
</file>

<file path=xl/worksheets/sheet1.xml><?xml version="1.0" encoding="utf-8"?>
<worksheet xmlns="http://schemas.openxmlformats.org/spreadsheetml/2006/main" xmlns:r="http://schemas.openxmlformats.org/officeDocument/2006/relationships">
  <dimension ref="A1:CP17"/>
  <sheetViews>
    <sheetView tabSelected="1" workbookViewId="0"/>
  </sheetViews>
  <sheetFormatPr defaultRowHeight="15"/>
  <cols>
    <col min="1" max="1" width="9.140625" style="1"/>
    <col min="2" max="2" width="13.7109375" customWidth="1"/>
    <col min="3" max="3" width="19.7109375" customWidth="1"/>
    <col min="4" max="4" width="12.7109375" customWidth="1"/>
    <col min="5" max="5" width="17.7109375" customWidth="1"/>
    <col min="6" max="6" width="94.7109375" customWidth="1"/>
    <col min="7" max="7" width="97.7109375" customWidth="1"/>
    <col min="8" max="8" width="7.7109375" customWidth="1"/>
    <col min="9" max="10" width="15.7109375" customWidth="1"/>
    <col min="11" max="11" width="18.7109375" customWidth="1"/>
    <col min="12" max="12" width="23.7109375" customWidth="1"/>
    <col min="13" max="13" width="22.7109375" customWidth="1"/>
    <col min="14" max="14" width="27.7109375" customWidth="1"/>
    <col min="15" max="15" width="8.7109375" customWidth="1"/>
    <col min="16" max="16" width="10.7109375" customWidth="1"/>
    <col min="17" max="17" width="16.7109375" customWidth="1"/>
    <col min="18" max="19" width="15.7109375" customWidth="1"/>
    <col min="20" max="20" width="25.7109375" customWidth="1"/>
    <col min="21" max="21" width="12.7109375" customWidth="1"/>
    <col min="22" max="23" width="29.7109375" customWidth="1"/>
    <col min="24" max="24" width="42.7109375" customWidth="1"/>
    <col min="25" max="25" width="43.7109375" customWidth="1"/>
    <col min="26" max="26" width="19.7109375" customWidth="1"/>
    <col min="27" max="27" width="25.7109375" customWidth="1"/>
    <col min="28" max="28" width="12.7109375" customWidth="1"/>
    <col min="29" max="29" width="18.7109375" customWidth="1"/>
    <col min="30" max="30" width="61.7109375" customWidth="1"/>
    <col min="31" max="32" width="20.7109375" customWidth="1"/>
    <col min="33" max="33" width="13.7109375" customWidth="1"/>
    <col min="34" max="34" width="57.7109375" customWidth="1"/>
    <col min="35" max="36" width="22.7109375" customWidth="1"/>
    <col min="37" max="37" width="15.7109375" customWidth="1"/>
    <col min="38" max="38" width="77.7109375" customWidth="1"/>
    <col min="39" max="39" width="47.7109375" customWidth="1"/>
    <col min="40" max="40" width="18.7109375" customWidth="1"/>
    <col min="41" max="41" width="42.7109375" customWidth="1"/>
    <col min="42" max="42" width="40.7109375" customWidth="1"/>
    <col min="43" max="43" width="35.7109375" customWidth="1"/>
    <col min="44" max="44" width="36.7109375" customWidth="1"/>
    <col min="45" max="45" width="40.7109375" customWidth="1"/>
    <col min="46" max="46" width="39.7109375" customWidth="1"/>
    <col min="47" max="47" width="37.7109375" customWidth="1"/>
    <col min="48" max="48" width="35.7109375" customWidth="1"/>
    <col min="49" max="49" width="56.7109375" customWidth="1"/>
    <col min="50" max="50" width="34.7109375" customWidth="1"/>
    <col min="51" max="52" width="36.7109375" customWidth="1"/>
    <col min="53" max="53" width="38.7109375" customWidth="1"/>
    <col min="54" max="54" width="35.7109375" customWidth="1"/>
    <col min="55" max="55" width="29.7109375" customWidth="1"/>
    <col min="56" max="56" width="36.7109375" customWidth="1"/>
    <col min="57" max="57" width="49.7109375" customWidth="1"/>
    <col min="58" max="59" width="36.7109375" customWidth="1"/>
    <col min="60" max="60" width="34.7109375" customWidth="1"/>
    <col min="61" max="61" width="32.7109375" customWidth="1"/>
    <col min="62" max="62" width="33.7109375" customWidth="1"/>
    <col min="63" max="63" width="38.7109375" customWidth="1"/>
    <col min="64" max="65" width="36.7109375" customWidth="1"/>
    <col min="66" max="66" width="38.7109375" customWidth="1"/>
    <col min="67" max="67" width="36.7109375" customWidth="1"/>
    <col min="68" max="68" width="58.7109375" customWidth="1"/>
    <col min="69" max="69" width="33.7109375" customWidth="1"/>
    <col min="70" max="71" width="57.7109375" customWidth="1"/>
    <col min="72" max="72" width="36.7109375" customWidth="1"/>
    <col min="73" max="73" width="35.7109375" customWidth="1"/>
    <col min="74" max="74" width="37.7109375" customWidth="1"/>
    <col min="75" max="75" width="36.7109375" customWidth="1"/>
    <col min="76" max="76" width="38.7109375" customWidth="1"/>
    <col min="77" max="77" width="36.7109375" customWidth="1"/>
    <col min="78" max="78" width="37.7109375" customWidth="1"/>
    <col min="79" max="79" width="34.7109375" customWidth="1"/>
    <col min="80" max="83" width="36.7109375" customWidth="1"/>
    <col min="84" max="84" width="37.7109375" customWidth="1"/>
    <col min="85" max="85" width="24.7109375" customWidth="1"/>
    <col min="86" max="86" width="15.7109375" customWidth="1"/>
    <col min="87" max="87" width="22.7109375" customWidth="1"/>
    <col min="88" max="88" width="34.7109375" customWidth="1"/>
    <col min="89" max="89" width="19.7109375" customWidth="1"/>
    <col min="90" max="90" width="16.7109375" customWidth="1"/>
    <col min="91" max="91" width="19.7109375" customWidth="1"/>
    <col min="92" max="92" width="18.7109375" customWidth="1"/>
    <col min="93" max="93" width="17.7109375" customWidth="1"/>
    <col min="94" max="94" width="16.7109375" customWidth="1"/>
  </cols>
  <sheetData>
    <row r="1" spans="1:94">
      <c r="A1" s="2" t="s">
        <v>190</v>
      </c>
      <c r="B1" s="2"/>
      <c r="C1" s="2"/>
      <c r="D1" s="2"/>
      <c r="E1" s="3" t="s">
        <v>191</v>
      </c>
      <c r="F1" s="3"/>
      <c r="G1" s="3"/>
      <c r="H1" s="3"/>
      <c r="I1" s="3"/>
      <c r="J1" s="3"/>
      <c r="K1" s="3"/>
      <c r="L1" s="3"/>
      <c r="M1" s="3"/>
      <c r="N1" s="3"/>
      <c r="O1" s="3"/>
      <c r="P1" s="3"/>
      <c r="Q1" s="3"/>
      <c r="R1" s="3"/>
      <c r="S1" s="3"/>
      <c r="T1" s="4" t="s">
        <v>192</v>
      </c>
      <c r="U1" s="4"/>
      <c r="V1" s="4"/>
      <c r="W1" s="4"/>
      <c r="X1" s="4"/>
      <c r="Y1" s="4"/>
      <c r="Z1" s="4"/>
      <c r="AA1" s="4"/>
      <c r="AB1" s="4"/>
      <c r="AC1" s="4"/>
      <c r="AD1" s="4"/>
      <c r="AE1" s="5" t="s">
        <v>193</v>
      </c>
      <c r="AF1" s="5"/>
      <c r="AG1" s="5"/>
      <c r="AH1" s="5"/>
      <c r="AI1" s="5"/>
      <c r="AJ1" s="5"/>
      <c r="AK1" s="5"/>
      <c r="AL1" s="5"/>
      <c r="AM1" s="6" t="s">
        <v>194</v>
      </c>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7" t="s">
        <v>195</v>
      </c>
      <c r="CH1" s="7"/>
      <c r="CI1" s="7"/>
      <c r="CJ1" s="8" t="s">
        <v>196</v>
      </c>
      <c r="CK1" s="8"/>
      <c r="CL1" s="8"/>
      <c r="CM1" s="8"/>
      <c r="CN1" s="8"/>
      <c r="CO1" s="8"/>
      <c r="CP1" s="8"/>
    </row>
    <row r="2" spans="1:94">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c r="U2" s="9" t="s">
        <v>20</v>
      </c>
      <c r="V2" s="9" t="s">
        <v>21</v>
      </c>
      <c r="W2" s="9" t="s">
        <v>22</v>
      </c>
      <c r="X2" s="9" t="s">
        <v>23</v>
      </c>
      <c r="Y2" s="9" t="s">
        <v>24</v>
      </c>
      <c r="Z2" s="9" t="s">
        <v>25</v>
      </c>
      <c r="AA2" s="9" t="s">
        <v>26</v>
      </c>
      <c r="AB2" s="9" t="s">
        <v>27</v>
      </c>
      <c r="AC2" s="9" t="s">
        <v>28</v>
      </c>
      <c r="AD2" s="9" t="s">
        <v>29</v>
      </c>
      <c r="AE2" s="9" t="s">
        <v>30</v>
      </c>
      <c r="AF2" s="9" t="s">
        <v>31</v>
      </c>
      <c r="AG2" s="9" t="s">
        <v>32</v>
      </c>
      <c r="AH2" s="9" t="s">
        <v>33</v>
      </c>
      <c r="AI2" s="9" t="s">
        <v>34</v>
      </c>
      <c r="AJ2" s="9" t="s">
        <v>35</v>
      </c>
      <c r="AK2" s="9" t="s">
        <v>36</v>
      </c>
      <c r="AL2" s="9" t="s">
        <v>37</v>
      </c>
      <c r="AM2" s="9" t="s">
        <v>38</v>
      </c>
      <c r="AN2" s="9" t="s">
        <v>39</v>
      </c>
      <c r="AO2" s="9" t="s">
        <v>40</v>
      </c>
      <c r="AP2" s="9" t="s">
        <v>41</v>
      </c>
      <c r="AQ2" s="9" t="s">
        <v>42</v>
      </c>
      <c r="AR2" s="9" t="s">
        <v>43</v>
      </c>
      <c r="AS2" s="9" t="s">
        <v>44</v>
      </c>
      <c r="AT2" s="9" t="s">
        <v>45</v>
      </c>
      <c r="AU2" s="9" t="s">
        <v>46</v>
      </c>
      <c r="AV2" s="9" t="s">
        <v>47</v>
      </c>
      <c r="AW2" s="9" t="s">
        <v>48</v>
      </c>
      <c r="AX2" s="9" t="s">
        <v>49</v>
      </c>
      <c r="AY2" s="9" t="s">
        <v>50</v>
      </c>
      <c r="AZ2" s="9" t="s">
        <v>51</v>
      </c>
      <c r="BA2" s="9" t="s">
        <v>52</v>
      </c>
      <c r="BB2" s="9" t="s">
        <v>53</v>
      </c>
      <c r="BC2" s="9" t="s">
        <v>54</v>
      </c>
      <c r="BD2" s="10" t="s">
        <v>55</v>
      </c>
      <c r="BE2" s="9" t="s">
        <v>56</v>
      </c>
      <c r="BF2" s="9" t="s">
        <v>57</v>
      </c>
      <c r="BG2" s="9" t="s">
        <v>58</v>
      </c>
      <c r="BH2" s="9" t="s">
        <v>59</v>
      </c>
      <c r="BI2" s="9" t="s">
        <v>60</v>
      </c>
      <c r="BJ2" s="9" t="s">
        <v>61</v>
      </c>
      <c r="BK2" s="9" t="s">
        <v>62</v>
      </c>
      <c r="BL2" s="9" t="s">
        <v>63</v>
      </c>
      <c r="BM2" s="9" t="s">
        <v>64</v>
      </c>
      <c r="BN2" s="9" t="s">
        <v>65</v>
      </c>
      <c r="BO2" s="9" t="s">
        <v>66</v>
      </c>
      <c r="BP2" s="9" t="s">
        <v>67</v>
      </c>
      <c r="BQ2" s="9" t="s">
        <v>68</v>
      </c>
      <c r="BR2" s="9" t="s">
        <v>69</v>
      </c>
      <c r="BS2" s="9" t="s">
        <v>70</v>
      </c>
      <c r="BT2" s="9" t="s">
        <v>71</v>
      </c>
      <c r="BU2" s="9" t="s">
        <v>72</v>
      </c>
      <c r="BV2" s="9" t="s">
        <v>73</v>
      </c>
      <c r="BW2" s="9" t="s">
        <v>74</v>
      </c>
      <c r="BX2" s="9" t="s">
        <v>75</v>
      </c>
      <c r="BY2" s="9" t="s">
        <v>76</v>
      </c>
      <c r="BZ2" s="9" t="s">
        <v>77</v>
      </c>
      <c r="CA2" s="9" t="s">
        <v>78</v>
      </c>
      <c r="CB2" s="9" t="s">
        <v>79</v>
      </c>
      <c r="CC2" s="9" t="s">
        <v>80</v>
      </c>
      <c r="CD2" s="9" t="s">
        <v>81</v>
      </c>
      <c r="CE2" s="9" t="s">
        <v>82</v>
      </c>
      <c r="CF2" s="9" t="s">
        <v>83</v>
      </c>
      <c r="CG2" s="9" t="s">
        <v>84</v>
      </c>
      <c r="CH2" s="9" t="s">
        <v>85</v>
      </c>
      <c r="CI2" s="9" t="s">
        <v>86</v>
      </c>
      <c r="CJ2" s="9" t="s">
        <v>87</v>
      </c>
      <c r="CK2" s="9" t="s">
        <v>88</v>
      </c>
      <c r="CL2" s="9" t="s">
        <v>89</v>
      </c>
      <c r="CM2" s="9" t="s">
        <v>90</v>
      </c>
      <c r="CN2" s="9" t="s">
        <v>91</v>
      </c>
      <c r="CO2" s="9" t="s">
        <v>92</v>
      </c>
      <c r="CP2" s="9" t="s">
        <v>93</v>
      </c>
    </row>
    <row r="3" spans="1:94">
      <c r="A3" s="1" t="s">
        <v>94</v>
      </c>
      <c r="B3" t="s">
        <v>98</v>
      </c>
      <c r="C3" t="s">
        <v>99</v>
      </c>
      <c r="D3" t="s">
        <v>100</v>
      </c>
      <c r="E3" t="s">
        <v>101</v>
      </c>
      <c r="F3" t="s">
        <v>103</v>
      </c>
      <c r="G3" t="s">
        <v>105</v>
      </c>
      <c r="I3">
        <v>92.79000000000001</v>
      </c>
      <c r="J3">
        <v>91.73</v>
      </c>
      <c r="K3">
        <v>430240</v>
      </c>
      <c r="L3">
        <v>396584</v>
      </c>
      <c r="M3">
        <v>407095</v>
      </c>
      <c r="N3">
        <v>19.69</v>
      </c>
      <c r="O3">
        <v>50.6</v>
      </c>
      <c r="P3">
        <v>156</v>
      </c>
      <c r="Q3">
        <v>4863316</v>
      </c>
      <c r="R3">
        <v>0.9527</v>
      </c>
      <c r="S3">
        <v>0.6870000000000001</v>
      </c>
      <c r="T3" t="s">
        <v>110</v>
      </c>
      <c r="U3" t="s">
        <v>113</v>
      </c>
      <c r="V3" t="s">
        <v>115</v>
      </c>
      <c r="W3">
        <v>99.77</v>
      </c>
      <c r="X3" t="s">
        <v>118</v>
      </c>
      <c r="Y3" t="s">
        <v>121</v>
      </c>
      <c r="Z3" t="s">
        <v>124</v>
      </c>
      <c r="AA3" t="s">
        <v>110</v>
      </c>
      <c r="AB3">
        <v>99.54000000000001</v>
      </c>
      <c r="AC3">
        <v>91.36</v>
      </c>
      <c r="AD3" t="s">
        <v>125</v>
      </c>
      <c r="AE3" t="s">
        <v>128</v>
      </c>
      <c r="AF3" t="s">
        <v>130</v>
      </c>
      <c r="AG3" t="s">
        <v>132</v>
      </c>
      <c r="AH3" t="s">
        <v>135</v>
      </c>
      <c r="AI3" t="s">
        <v>138</v>
      </c>
      <c r="AJ3" t="s">
        <v>130</v>
      </c>
      <c r="AK3" t="s">
        <v>139</v>
      </c>
      <c r="AL3" t="s">
        <v>141</v>
      </c>
      <c r="AM3" t="s">
        <v>143</v>
      </c>
      <c r="AO3" t="s">
        <v>146</v>
      </c>
      <c r="AR3" t="s">
        <v>149</v>
      </c>
      <c r="AU3" t="s">
        <v>151</v>
      </c>
      <c r="AV3" t="s">
        <v>152</v>
      </c>
      <c r="AW3" t="s">
        <v>153</v>
      </c>
      <c r="AX3" t="s">
        <v>155</v>
      </c>
      <c r="BA3" t="s">
        <v>159</v>
      </c>
      <c r="BB3" t="s">
        <v>160</v>
      </c>
      <c r="BD3" t="s">
        <v>149</v>
      </c>
      <c r="BE3" t="s">
        <v>146</v>
      </c>
      <c r="BF3" t="s">
        <v>163</v>
      </c>
      <c r="BG3" t="s">
        <v>149</v>
      </c>
      <c r="BI3" t="s">
        <v>165</v>
      </c>
      <c r="BJ3" t="s">
        <v>166</v>
      </c>
      <c r="BQ3" t="s">
        <v>172</v>
      </c>
      <c r="BS3" t="s">
        <v>169</v>
      </c>
      <c r="BV3" t="s">
        <v>146</v>
      </c>
      <c r="BW3" t="s">
        <v>149</v>
      </c>
      <c r="BY3" t="s">
        <v>149</v>
      </c>
      <c r="CB3" t="s">
        <v>178</v>
      </c>
      <c r="CC3" t="s">
        <v>178</v>
      </c>
      <c r="CE3" t="s">
        <v>149</v>
      </c>
      <c r="CG3" t="s">
        <v>179</v>
      </c>
      <c r="CH3" t="s">
        <v>181</v>
      </c>
      <c r="CJ3" t="s">
        <v>183</v>
      </c>
      <c r="CL3" t="s">
        <v>185</v>
      </c>
      <c r="CM3" t="s">
        <v>186</v>
      </c>
      <c r="CN3" t="s">
        <v>187</v>
      </c>
      <c r="CO3" t="s">
        <v>188</v>
      </c>
      <c r="CP3" t="s">
        <v>189</v>
      </c>
    </row>
    <row r="4" spans="1:94">
      <c r="A4" s="1" t="s">
        <v>95</v>
      </c>
      <c r="B4" t="s">
        <v>98</v>
      </c>
      <c r="C4" t="s">
        <v>99</v>
      </c>
      <c r="D4" t="s">
        <v>100</v>
      </c>
      <c r="E4" t="s">
        <v>102</v>
      </c>
      <c r="G4" t="s">
        <v>106</v>
      </c>
      <c r="I4">
        <v>98.27</v>
      </c>
      <c r="J4">
        <v>94.23999999999999</v>
      </c>
      <c r="K4">
        <v>1344556</v>
      </c>
      <c r="L4">
        <v>1279306</v>
      </c>
      <c r="M4">
        <v>1307094</v>
      </c>
      <c r="N4">
        <v>65.91</v>
      </c>
      <c r="O4">
        <v>29</v>
      </c>
      <c r="P4">
        <v>222</v>
      </c>
      <c r="Q4">
        <v>4202813</v>
      </c>
      <c r="R4">
        <v>1.0093</v>
      </c>
      <c r="S4">
        <v>0.1846</v>
      </c>
      <c r="T4" t="s">
        <v>111</v>
      </c>
      <c r="U4" t="s">
        <v>113</v>
      </c>
      <c r="V4" t="s">
        <v>116</v>
      </c>
      <c r="W4">
        <v>99.76000000000001</v>
      </c>
      <c r="X4" t="s">
        <v>119</v>
      </c>
      <c r="Y4" t="s">
        <v>122</v>
      </c>
      <c r="AA4" t="s">
        <v>111</v>
      </c>
      <c r="AB4">
        <v>99.93000000000001</v>
      </c>
      <c r="AC4">
        <v>98.59999999999999</v>
      </c>
      <c r="AD4" t="s">
        <v>126</v>
      </c>
      <c r="AE4" t="s">
        <v>129</v>
      </c>
      <c r="AF4" t="s">
        <v>131</v>
      </c>
      <c r="AG4" t="s">
        <v>133</v>
      </c>
      <c r="AH4" t="s">
        <v>136</v>
      </c>
      <c r="AM4" t="s">
        <v>143</v>
      </c>
      <c r="AP4" t="s">
        <v>147</v>
      </c>
      <c r="AY4" t="s">
        <v>157</v>
      </c>
      <c r="AZ4" t="s">
        <v>158</v>
      </c>
      <c r="BK4" t="s">
        <v>168</v>
      </c>
      <c r="BL4" t="s">
        <v>168</v>
      </c>
      <c r="BM4" t="s">
        <v>168</v>
      </c>
      <c r="BN4" t="s">
        <v>169</v>
      </c>
      <c r="BO4" t="s">
        <v>170</v>
      </c>
      <c r="BP4" t="s">
        <v>171</v>
      </c>
      <c r="BR4" t="s">
        <v>173</v>
      </c>
      <c r="BT4" t="s">
        <v>174</v>
      </c>
      <c r="CG4" t="s">
        <v>179</v>
      </c>
      <c r="CH4" t="s">
        <v>181</v>
      </c>
      <c r="CJ4" t="s">
        <v>183</v>
      </c>
      <c r="CK4" t="s">
        <v>181</v>
      </c>
    </row>
    <row r="5" spans="1:94">
      <c r="A5" s="1" t="s">
        <v>96</v>
      </c>
      <c r="B5" t="s">
        <v>98</v>
      </c>
      <c r="C5" t="s">
        <v>99</v>
      </c>
      <c r="D5" t="s">
        <v>100</v>
      </c>
      <c r="E5" t="s">
        <v>102</v>
      </c>
      <c r="G5" t="s">
        <v>107</v>
      </c>
      <c r="I5">
        <v>92.15000000000001</v>
      </c>
      <c r="J5">
        <v>78.97</v>
      </c>
      <c r="K5">
        <v>1340342</v>
      </c>
      <c r="L5">
        <v>1180028</v>
      </c>
      <c r="M5">
        <v>1242133</v>
      </c>
      <c r="N5">
        <v>57.3</v>
      </c>
      <c r="O5">
        <v>50.45</v>
      </c>
      <c r="P5">
        <v>346</v>
      </c>
      <c r="Q5">
        <v>4452837</v>
      </c>
      <c r="R5">
        <v>0.9689</v>
      </c>
      <c r="S5">
        <v>0.4694</v>
      </c>
      <c r="T5" t="s">
        <v>112</v>
      </c>
      <c r="U5" t="s">
        <v>114</v>
      </c>
      <c r="V5" t="s">
        <v>115</v>
      </c>
      <c r="W5">
        <v>99.08</v>
      </c>
      <c r="X5" t="s">
        <v>120</v>
      </c>
      <c r="Y5" t="s">
        <v>123</v>
      </c>
      <c r="Z5" t="s">
        <v>112</v>
      </c>
      <c r="AA5" t="s">
        <v>112</v>
      </c>
      <c r="AB5">
        <v>99.93000000000001</v>
      </c>
      <c r="AC5">
        <v>99.7</v>
      </c>
      <c r="AD5" t="s">
        <v>127</v>
      </c>
      <c r="AE5" t="s">
        <v>128</v>
      </c>
      <c r="AF5" t="s">
        <v>131</v>
      </c>
      <c r="AG5" t="s">
        <v>134</v>
      </c>
      <c r="AH5" t="s">
        <v>137</v>
      </c>
      <c r="AI5" t="s">
        <v>138</v>
      </c>
      <c r="AJ5" t="s">
        <v>131</v>
      </c>
      <c r="AK5" t="s">
        <v>140</v>
      </c>
      <c r="AL5" t="s">
        <v>142</v>
      </c>
      <c r="AM5" t="s">
        <v>143</v>
      </c>
      <c r="AQ5" t="s">
        <v>148</v>
      </c>
      <c r="AS5" t="s">
        <v>150</v>
      </c>
      <c r="AT5" t="s">
        <v>150</v>
      </c>
      <c r="AW5" t="s">
        <v>154</v>
      </c>
      <c r="AX5" t="s">
        <v>156</v>
      </c>
      <c r="BC5" t="s">
        <v>161</v>
      </c>
      <c r="BE5" t="s">
        <v>162</v>
      </c>
      <c r="BH5" t="s">
        <v>164</v>
      </c>
      <c r="BJ5" t="s">
        <v>167</v>
      </c>
      <c r="BU5" t="s">
        <v>175</v>
      </c>
      <c r="BX5" t="s">
        <v>176</v>
      </c>
      <c r="BZ5" t="s">
        <v>150</v>
      </c>
      <c r="CA5" t="s">
        <v>177</v>
      </c>
      <c r="CD5" t="s">
        <v>148</v>
      </c>
      <c r="CF5" t="s">
        <v>176</v>
      </c>
      <c r="CG5" t="s">
        <v>179</v>
      </c>
      <c r="CI5" t="s">
        <v>182</v>
      </c>
      <c r="CJ5" t="s">
        <v>183</v>
      </c>
      <c r="CK5" t="s">
        <v>181</v>
      </c>
    </row>
    <row r="6" spans="1:94">
      <c r="A6" s="1" t="s">
        <v>97</v>
      </c>
      <c r="B6" t="s">
        <v>98</v>
      </c>
      <c r="C6" t="s">
        <v>99</v>
      </c>
      <c r="D6" t="s">
        <v>100</v>
      </c>
      <c r="E6" t="s">
        <v>101</v>
      </c>
      <c r="F6" t="s">
        <v>104</v>
      </c>
      <c r="G6" t="s">
        <v>108</v>
      </c>
      <c r="I6" t="s">
        <v>109</v>
      </c>
      <c r="J6" t="s">
        <v>109</v>
      </c>
      <c r="K6" t="s">
        <v>109</v>
      </c>
      <c r="L6" t="s">
        <v>109</v>
      </c>
      <c r="M6" t="s">
        <v>109</v>
      </c>
      <c r="N6" t="s">
        <v>109</v>
      </c>
      <c r="O6" t="s">
        <v>109</v>
      </c>
      <c r="P6" t="s">
        <v>109</v>
      </c>
      <c r="Q6" t="s">
        <v>109</v>
      </c>
      <c r="R6" t="s">
        <v>109</v>
      </c>
      <c r="S6" t="s">
        <v>109</v>
      </c>
      <c r="T6" t="s">
        <v>109</v>
      </c>
      <c r="U6" t="s">
        <v>109</v>
      </c>
      <c r="V6" t="s">
        <v>117</v>
      </c>
      <c r="W6" t="s">
        <v>117</v>
      </c>
      <c r="X6" t="s">
        <v>109</v>
      </c>
      <c r="Y6" t="s">
        <v>109</v>
      </c>
      <c r="AA6" t="s">
        <v>109</v>
      </c>
      <c r="AB6" t="s">
        <v>109</v>
      </c>
      <c r="AC6" t="s">
        <v>109</v>
      </c>
      <c r="AD6" t="s">
        <v>109</v>
      </c>
      <c r="AE6" t="s">
        <v>109</v>
      </c>
      <c r="AF6" t="s">
        <v>109</v>
      </c>
      <c r="AG6" t="s">
        <v>109</v>
      </c>
      <c r="AH6" t="s">
        <v>109</v>
      </c>
      <c r="AI6" t="s">
        <v>109</v>
      </c>
      <c r="AJ6" t="s">
        <v>109</v>
      </c>
      <c r="AK6" t="s">
        <v>109</v>
      </c>
      <c r="AL6" t="s">
        <v>109</v>
      </c>
      <c r="AM6" t="s">
        <v>144</v>
      </c>
      <c r="AN6" t="s">
        <v>145</v>
      </c>
      <c r="CG6" t="s">
        <v>180</v>
      </c>
      <c r="CH6" t="s">
        <v>145</v>
      </c>
      <c r="CJ6" t="s">
        <v>184</v>
      </c>
      <c r="CK6" t="s">
        <v>145</v>
      </c>
    </row>
    <row r="8" spans="1:94">
      <c r="A8" s="11" t="s">
        <v>197</v>
      </c>
    </row>
    <row r="9" spans="1:94">
      <c r="A9" s="12" t="s">
        <v>198</v>
      </c>
    </row>
    <row r="10" spans="1:94">
      <c r="A10" s="13" t="s">
        <v>199</v>
      </c>
    </row>
    <row r="11" spans="1:94">
      <c r="A11" s="14" t="s">
        <v>200</v>
      </c>
    </row>
    <row r="12" spans="1:94">
      <c r="A12" s="15" t="s">
        <v>201</v>
      </c>
    </row>
    <row r="13" spans="1:94">
      <c r="A13" s="15" t="s">
        <v>202</v>
      </c>
    </row>
    <row r="14" spans="1:94">
      <c r="A14" s="15" t="s">
        <v>203</v>
      </c>
    </row>
    <row r="15" spans="1:94">
      <c r="A15" s="1" t="s">
        <v>204</v>
      </c>
    </row>
    <row r="17" spans="1:4">
      <c r="A17" s="15" t="s">
        <v>205</v>
      </c>
      <c r="D17" t="s">
        <v>206</v>
      </c>
    </row>
  </sheetData>
  <autoFilter ref="A2:CP5"/>
  <mergeCells count="7">
    <mergeCell ref="A1:D1"/>
    <mergeCell ref="E1:S1"/>
    <mergeCell ref="T1:AD1"/>
    <mergeCell ref="AE1:AL1"/>
    <mergeCell ref="AM1:CF1"/>
    <mergeCell ref="CG1:CI1"/>
    <mergeCell ref="CJ1:CP1"/>
  </mergeCells>
  <conditionalFormatting sqref="AB3:AC6">
    <cfRule type="cellIs" dxfId="1" priority="6" operator="notEqual">
      <formula>"Unknown"</formula>
    </cfRule>
  </conditionalFormatting>
  <conditionalFormatting sqref="E3:E6">
    <cfRule type="cellIs" dxfId="3" priority="9" operator="equal">
      <formula>"FAIL"</formula>
    </cfRule>
  </conditionalFormatting>
  <conditionalFormatting sqref="I3:J6">
    <cfRule type="cellIs" dxfId="1" priority="4" operator="notEqual">
      <formula>"Unknown"</formula>
    </cfRule>
  </conditionalFormatting>
  <conditionalFormatting sqref="K3:M6">
    <cfRule type="cellIs" dxfId="0" priority="2" operator="notEqual">
      <formula>"Unknown"</formula>
    </cfRule>
  </conditionalFormatting>
  <conditionalFormatting sqref="N3:N6">
    <cfRule type="cellIs" dxfId="2" priority="7" operator="lessThan">
      <formula>30</formula>
    </cfRule>
    <cfRule type="cellIs" dxfId="2" priority="8" operator="greaterThan">
      <formula>100.0</formula>
    </cfRule>
  </conditionalFormatting>
  <conditionalFormatting sqref="N3:O6">
    <cfRule type="cellIs" dxfId="1" priority="3" operator="notEqual">
      <formula>"Unknown"</formula>
    </cfRule>
  </conditionalFormatting>
  <conditionalFormatting sqref="O3:Q6">
    <cfRule type="cellIs" dxfId="0" priority="1" operator="notEqual">
      <formula>"Unknown"</formula>
    </cfRule>
  </conditionalFormatting>
  <conditionalFormatting sqref="R3:S6">
    <cfRule type="cellIs" dxfId="1" priority="5" operator="notEqual">
      <formula>"Unknown"</formula>
    </cfRule>
  </conditionalFormatting>
  <hyperlinks>
    <hyperlink ref="A11" r:id="rId1" location="mlst-allele-symbol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2026-04-07T18:12:38Z</dcterms:created>
  <dcterms:modified xsi:type="dcterms:W3CDTF">2026-04-07T18:12:38Z</dcterms:modified>
</cp:coreProperties>
</file>